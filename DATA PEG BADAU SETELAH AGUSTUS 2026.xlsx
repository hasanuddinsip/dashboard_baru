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Kerja\"/>
    </mc:Choice>
  </mc:AlternateContent>
  <xr:revisionPtr revIDLastSave="0" documentId="13_ncr:1_{25A2124D-A4E6-470A-8698-29C5471A9112}" xr6:coauthVersionLast="47" xr6:coauthVersionMax="47" xr10:uidLastSave="{00000000-0000-0000-0000-000000000000}"/>
  <bookViews>
    <workbookView xWindow="-120" yWindow="-120" windowWidth="29040" windowHeight="15720" activeTab="1" xr2:uid="{261809B1-7A67-46F8-B32B-D2DADA2E7F9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0" i="2" l="1"/>
  <c r="H31" i="2"/>
  <c r="H32" i="2"/>
  <c r="H33" i="2"/>
  <c r="H34" i="2"/>
  <c r="H35" i="2"/>
  <c r="H36" i="2"/>
  <c r="H37" i="2"/>
  <c r="H38" i="2"/>
  <c r="H39" i="2"/>
  <c r="H40" i="2"/>
  <c r="H41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2" i="2"/>
  <c r="F30" i="2"/>
  <c r="F31" i="2"/>
  <c r="F32" i="2"/>
  <c r="F33" i="2"/>
  <c r="F34" i="2"/>
  <c r="F35" i="2"/>
  <c r="F36" i="2"/>
  <c r="F37" i="2"/>
  <c r="F38" i="2"/>
  <c r="F39" i="2"/>
  <c r="F40" i="2"/>
  <c r="F41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2" i="2"/>
</calcChain>
</file>

<file path=xl/sharedStrings.xml><?xml version="1.0" encoding="utf-8"?>
<sst xmlns="http://schemas.openxmlformats.org/spreadsheetml/2006/main" count="450" uniqueCount="214">
  <si>
    <t>NmPegawai</t>
  </si>
  <si>
    <t>UraianPangkat</t>
  </si>
  <si>
    <t>Nip</t>
  </si>
  <si>
    <t>TglLahir</t>
  </si>
  <si>
    <t>Tanggal SK Mutasi</t>
  </si>
  <si>
    <t>per tanggal di badau</t>
  </si>
  <si>
    <t>LAMA TUGAS DI BADAU</t>
  </si>
  <si>
    <t>UraianJabatan</t>
  </si>
  <si>
    <t>HENRY IMANUEL SINURAYA</t>
  </si>
  <si>
    <t>PEMBINA - IV/a</t>
  </si>
  <si>
    <t>197703242000011001</t>
  </si>
  <si>
    <t>24-03-1977</t>
  </si>
  <si>
    <t>49 Tahun 6 Bulan</t>
  </si>
  <si>
    <t>2 Tahun 7 Bulan</t>
  </si>
  <si>
    <t>Kepala Kantor Pengawasan dan Pelayanan Bea dan Cukai Tipe Madya Pabean C Nanga Badau, Kantor Wilayah Direktorat Jenderal Bea dan Cukai Kalimantan Bagian Barat</t>
  </si>
  <si>
    <t>IEDFI JAYA SUTISNA</t>
  </si>
  <si>
    <t>PENGATUR TK. I - II/d</t>
  </si>
  <si>
    <t>199204062012101002</t>
  </si>
  <si>
    <t>06-04-1992</t>
  </si>
  <si>
    <t>34 Tahun 5 Bulan</t>
  </si>
  <si>
    <t>2 Tahun 3 Bulan</t>
  </si>
  <si>
    <t>PELAKSANA PEMERIKSA PADA Seksi Kepatuhan Internal dan Penyuluhan, Kantor Pengawasan dan Pelayanan Bea dan Cukai Tipe Madya Pabean C Nanga Badau, Kantor Wilayah Direktorat Jenderal Bea dan Cukai Kalimantan Bagian Barat</t>
  </si>
  <si>
    <t>FRISKA OKTA NUR HIDAYAH</t>
  </si>
  <si>
    <t>PENGATUR MUDA - II/a</t>
  </si>
  <si>
    <t>200410072025052001</t>
  </si>
  <si>
    <t>07-10-2004</t>
  </si>
  <si>
    <t>21 Tahun 11 Bulan</t>
  </si>
  <si>
    <t>1 Tahun 4 Bulan</t>
  </si>
  <si>
    <t>PELAKSANA PEMERIKSA PADA Kantor Pengawasan dan Pelayanan Bea dan Cukai Tipe Madya Pabean C Nanga Badau, Kantor Wilayah Direktorat Jenderal Bea dan Cukai Kalimantan Bagian Barat</t>
  </si>
  <si>
    <t>FERDIAN SATRIADI</t>
  </si>
  <si>
    <t>200306092025051002</t>
  </si>
  <si>
    <t>09-06-2003</t>
  </si>
  <si>
    <t>23 Tahun 3 Bulan</t>
  </si>
  <si>
    <t>ANANGGA TANTRA AL FARIDZ</t>
  </si>
  <si>
    <t>200510312025051001</t>
  </si>
  <si>
    <t>31-10-2005</t>
  </si>
  <si>
    <t>20 Tahun 11 Bulan</t>
  </si>
  <si>
    <t>SIMON</t>
  </si>
  <si>
    <t>PENATA MUDA TK.I - III/b</t>
  </si>
  <si>
    <t>199011142018011004</t>
  </si>
  <si>
    <t>14-11-1990</t>
  </si>
  <si>
    <t>35 Tahun 10 Bulan</t>
  </si>
  <si>
    <t>4 Tahun 4 Bulan</t>
  </si>
  <si>
    <t>PEMERIKSA BEA DAN CUKAI PERTAMA PADA Kantor Pengawasan dan Pelayanan Bea dan Cukai Tipe Madya Pabean C Nanga Badau, Kantor Wilayah Direktorat Jenderal Bea dan Cukai Kalimantan Bagian Barat</t>
  </si>
  <si>
    <t>ZHARFAN SYAHIR</t>
  </si>
  <si>
    <t>198706142007011003</t>
  </si>
  <si>
    <t>14-06-1987</t>
  </si>
  <si>
    <t>39 Tahun 3 Bulan</t>
  </si>
  <si>
    <t>3 Tahun 8 Bulan</t>
  </si>
  <si>
    <t>YAZID BASTHOMY</t>
  </si>
  <si>
    <t>199204222012101003</t>
  </si>
  <si>
    <t>22-04-1992</t>
  </si>
  <si>
    <t>1 Tahun 9 Bulan</t>
  </si>
  <si>
    <t>PELAKSANA PEMERIKSA PADA Subbagian Umum, Kantor Pengawasan dan Pelayanan Bea dan Cukai Tipe Madya Pabean C Nanga Badau, Kantor Wilayah Direktorat Jenderal Bea dan Cukai Kalimantan Bagian Barat</t>
  </si>
  <si>
    <t>RINA NUR ISNAWATI</t>
  </si>
  <si>
    <t>PENGATUR MUDA TK. I - II/b</t>
  </si>
  <si>
    <t>199808152018012001</t>
  </si>
  <si>
    <t>15-08-1998</t>
  </si>
  <si>
    <t>28 Tahun 1 Bulan</t>
  </si>
  <si>
    <t>CHRISTOPHER BLESSINDO PAKPAHAN</t>
  </si>
  <si>
    <t>200010312019121002</t>
  </si>
  <si>
    <t>31-10-2000</t>
  </si>
  <si>
    <t>25 Tahun 11 Bulan</t>
  </si>
  <si>
    <t>6 Tahun 6 Bulan</t>
  </si>
  <si>
    <t>HASANUDDIN</t>
  </si>
  <si>
    <t>198109282002121003</t>
  </si>
  <si>
    <t>28-09-1981</t>
  </si>
  <si>
    <t>45 Tahun 0 Bulan</t>
  </si>
  <si>
    <t>0 Tahun 9 Bulan</t>
  </si>
  <si>
    <t>Kepala Subbagian Umum, Kantor Pengawasan dan Pelayanan Bea dan Cukai Tipe Madya Pabean C Nanga Badau, Kantor Wilayah Direktorat Jenderal Bea dan Cukai Kalimantan Bagian Barat</t>
  </si>
  <si>
    <t>MUHAMMAD ARIF ABIDIN</t>
  </si>
  <si>
    <t>199205282013101002</t>
  </si>
  <si>
    <t>28-05-1992</t>
  </si>
  <si>
    <t>34 Tahun 4 Bulan</t>
  </si>
  <si>
    <t>2 Tahun 11 Bulan</t>
  </si>
  <si>
    <t>HIRA ARHAM MARPAUNG</t>
  </si>
  <si>
    <t>199907102018121001</t>
  </si>
  <si>
    <t>10-07-1999</t>
  </si>
  <si>
    <t>27 Tahun 2 Bulan</t>
  </si>
  <si>
    <t>CHRISTIAN OBERLIN TAMBUNAN</t>
  </si>
  <si>
    <t>199110222012101002</t>
  </si>
  <si>
    <t>22-10-1991</t>
  </si>
  <si>
    <t>34 Tahun 11 Bulan</t>
  </si>
  <si>
    <t>3 Tahun 9 Bulan</t>
  </si>
  <si>
    <t>POLTAK SAHALA SIPAYUNG</t>
  </si>
  <si>
    <t>PENATA MUDA - III/a</t>
  </si>
  <si>
    <t>198910122009121001</t>
  </si>
  <si>
    <t>12-10-1989</t>
  </si>
  <si>
    <t>36 Tahun 11 Bulan</t>
  </si>
  <si>
    <t>FEIZAL KHOLIF ARRAHMAN</t>
  </si>
  <si>
    <t>PENGATUR - II/c</t>
  </si>
  <si>
    <t>199509202015021003</t>
  </si>
  <si>
    <t>20-09-1995</t>
  </si>
  <si>
    <t>31 Tahun 0 Bulan</t>
  </si>
  <si>
    <t>PELAKSANA PEMERIKSA PADA Seksi Penindakan dan Penyidikan, Kantor Pengawasan dan Pelayanan Bea dan Cukai Tipe Madya Pabean C Nanga Badau, Kantor Wilayah Direktorat Jenderal Bea dan Cukai Kalimantan Bagian Barat</t>
  </si>
  <si>
    <t>RIO RANDI RADITA</t>
  </si>
  <si>
    <t>200005262022011002</t>
  </si>
  <si>
    <t>26-05-2000</t>
  </si>
  <si>
    <t>26 Tahun 4 Bulan</t>
  </si>
  <si>
    <t>4 Tahun 6 Bulan</t>
  </si>
  <si>
    <t>YOSEPH KRISTIAN SARUMAHA</t>
  </si>
  <si>
    <t>200006202022011001</t>
  </si>
  <si>
    <t>20-06-2000</t>
  </si>
  <si>
    <t>26 Tahun 3 Bulan</t>
  </si>
  <si>
    <t>LEONARDO SIMBOLON</t>
  </si>
  <si>
    <t>199802272018121001</t>
  </si>
  <si>
    <t>27-02-1998</t>
  </si>
  <si>
    <t>28 Tahun 7 Bulan</t>
  </si>
  <si>
    <t>BAYU KRISTANTO</t>
  </si>
  <si>
    <t>198709192007011004</t>
  </si>
  <si>
    <t>19-09-1987</t>
  </si>
  <si>
    <t>39 Tahun 0 Bulan</t>
  </si>
  <si>
    <t>3 Tahun 10 Bulan</t>
  </si>
  <si>
    <t>YUNAN AHMADI</t>
  </si>
  <si>
    <t>198305312002121001</t>
  </si>
  <si>
    <t>31-05-1983</t>
  </si>
  <si>
    <t>43 Tahun 4 Bulan</t>
  </si>
  <si>
    <t>1 Tahun 11 Bulan</t>
  </si>
  <si>
    <t>Kepala Seksi Penindakan dan Penyidikan, Kantor Pengawasan dan Pelayanan Bea dan Cukai Tipe Madya Pabean C Nanga Badau, Kantor Wilayah Direktorat Jenderal Bea dan Cukai Kalimantan Bagian Barat</t>
  </si>
  <si>
    <t>DAVID CHRISMANTO MARPAUNG</t>
  </si>
  <si>
    <t>198908232010121004</t>
  </si>
  <si>
    <t>23-08-1989</t>
  </si>
  <si>
    <t>37 Tahun 1 Bulan</t>
  </si>
  <si>
    <t>YUGHA SHUGHAMA ILYAS IBRAHIM</t>
  </si>
  <si>
    <t>199506012015021006</t>
  </si>
  <si>
    <t>01-06-1995</t>
  </si>
  <si>
    <t>31 Tahun 4 Bulan</t>
  </si>
  <si>
    <t>VEBRY ANDREAS</t>
  </si>
  <si>
    <t>199807142018011001</t>
  </si>
  <si>
    <t>14-07-1998</t>
  </si>
  <si>
    <t>28 Tahun 2 Bulan</t>
  </si>
  <si>
    <t>4 Tahun 2 Bulan</t>
  </si>
  <si>
    <t>PELAKSANA PEMERIKSA PADA Seksi Perbendaharaan, Kantor Pengawasan dan Pelayanan Bea dan Cukai Tipe Madya Pabean C Nanga Badau, Kantor Wilayah Direktorat Jenderal Bea dan Cukai Kalimantan Bagian Barat</t>
  </si>
  <si>
    <t>MOCHAMMAD RICO BAYHAQI</t>
  </si>
  <si>
    <t>199505262015021004</t>
  </si>
  <si>
    <t>26-05-1995</t>
  </si>
  <si>
    <t>PENATA - III/c</t>
  </si>
  <si>
    <t>199101222013101004</t>
  </si>
  <si>
    <t>0 Tahun 6 Bulan</t>
  </si>
  <si>
    <t>Kepala Seksi Perbendaharaan, Kantor Pengawasan dan Pelayanan Bea dan Cukai Tipe Madya Pabean C Nanga Badau, Kantor Wilayah Direktorat Jenderal Bea dan Cukai Kalimantan Bagian Barat</t>
  </si>
  <si>
    <t>NICOLAUS BONDAN ADITYA</t>
  </si>
  <si>
    <t>198911252010011001</t>
  </si>
  <si>
    <t>25-11-1989</t>
  </si>
  <si>
    <t>36 Tahun 10 Bulan</t>
  </si>
  <si>
    <t>3 Tahun 4 Bulan</t>
  </si>
  <si>
    <t>PELAKSANA PEMERIKSA PADA Seksi Pelayanan Kepabeanan dan Cukai dan Dukungan Teknis, Kantor Pengawasan dan Pelayanan Bea dan Cukai Tipe Madya Pabean C Nanga Badau, Kantor Wilayah Direktorat Jenderal Bea dan Cukai Kalimantan Bagian Barat</t>
  </si>
  <si>
    <t>ARINGGA NAUVAL SAPUTRA</t>
  </si>
  <si>
    <t>199805242018011002</t>
  </si>
  <si>
    <t>24-05-1998</t>
  </si>
  <si>
    <t>28 Tahun 4 Bulan</t>
  </si>
  <si>
    <t>VIRAMIAH WIJAYA</t>
  </si>
  <si>
    <t>199809042018012001</t>
  </si>
  <si>
    <t>04-09-1998</t>
  </si>
  <si>
    <t>28 Tahun 0 Bulan</t>
  </si>
  <si>
    <t>M. SHIDDIQI CAHYADI</t>
  </si>
  <si>
    <t>200010232022011001</t>
  </si>
  <si>
    <t>23-10-2000</t>
  </si>
  <si>
    <t>SUMARNO</t>
  </si>
  <si>
    <t>198412272006021001</t>
  </si>
  <si>
    <t>27-12-1984</t>
  </si>
  <si>
    <t>41 Tahun 9 Bulan</t>
  </si>
  <si>
    <t>Kepala Seksi Pelayanan Kepabeanan dan Cukai dan Dukungan Teknis, Kantor Pengawasan dan Pelayanan Bea dan Cukai Tipe Madya Pabean C Nanga Badau, Kantor Wilayah Direktorat Jenderal Bea dan Cukai Kalimantan Bagian Barat</t>
  </si>
  <si>
    <t>RIZKI FAJARDINATA</t>
  </si>
  <si>
    <t>199809292022011001</t>
  </si>
  <si>
    <t>29-09-1998</t>
  </si>
  <si>
    <t>ADIDHARMA KENANGDJATU YUDHASUSILA</t>
  </si>
  <si>
    <t>199311012013101002</t>
  </si>
  <si>
    <t>01-11-1993</t>
  </si>
  <si>
    <t>32 Tahun 11 Bulan</t>
  </si>
  <si>
    <t>HAIDAR LEON SAPUTRO</t>
  </si>
  <si>
    <t>199708082018011002</t>
  </si>
  <si>
    <t>08-08-1997</t>
  </si>
  <si>
    <t>29 Tahun 1 Bulan</t>
  </si>
  <si>
    <t>STEVEN HAMONANGAN RITONGA</t>
  </si>
  <si>
    <t>199906102022011002</t>
  </si>
  <si>
    <t>10-06-1999</t>
  </si>
  <si>
    <t>27 Tahun 3 Bulan</t>
  </si>
  <si>
    <t>ERRIK FITRIYANTO PRABOWO</t>
  </si>
  <si>
    <t>198506232004121002</t>
  </si>
  <si>
    <t>23-06-1985</t>
  </si>
  <si>
    <t>41 Tahun 3 Bulan</t>
  </si>
  <si>
    <t>Kepala Seksi Kepatuhan Internal dan Penyuluhan, Kantor Pengawasan dan Pelayanan Bea dan Cukai Tipe Madya Pabean C Nanga Badau, Kantor Wilayah Direktorat Jenderal Bea dan Cukai Kalimantan Bagian Barat</t>
  </si>
  <si>
    <t>RAHMATIKA ISTIQFARI FATIMAH</t>
  </si>
  <si>
    <t>200503182025052001</t>
  </si>
  <si>
    <t>18-03-2005</t>
  </si>
  <si>
    <t>21 Tahun 6 Bulan</t>
  </si>
  <si>
    <t>BINTANG M SIMATUPANG</t>
  </si>
  <si>
    <t>No</t>
  </si>
  <si>
    <t>Umur</t>
  </si>
  <si>
    <t xml:space="preserve">Heri Sutrisno </t>
  </si>
  <si>
    <t xml:space="preserve">Harits Al Hammam Harahap   </t>
  </si>
  <si>
    <t xml:space="preserve"> Efendi Saragih </t>
  </si>
  <si>
    <t xml:space="preserve">Margyanto </t>
  </si>
  <si>
    <t xml:space="preserve">Danny Kharisma Pesik </t>
  </si>
  <si>
    <t xml:space="preserve">Hanung Ari Wibowo </t>
  </si>
  <si>
    <t xml:space="preserve">Hutomo Satrio Prabowo  </t>
  </si>
  <si>
    <t xml:space="preserve">Mochamad Irfan Al-Farisi </t>
  </si>
  <si>
    <t xml:space="preserve">Muhlisin </t>
  </si>
  <si>
    <t xml:space="preserve">Retra Canseredo Husna  </t>
  </si>
  <si>
    <t xml:space="preserve">Yonathan Manulang </t>
  </si>
  <si>
    <t xml:space="preserve">Rian Widi Arjun </t>
  </si>
  <si>
    <t xml:space="preserve">198804032007101001  </t>
  </si>
  <si>
    <t>198906222010011001</t>
  </si>
  <si>
    <t xml:space="preserve">198907212015021004 </t>
  </si>
  <si>
    <t xml:space="preserve">198705042006021004 </t>
  </si>
  <si>
    <t>199606252018011003</t>
  </si>
  <si>
    <t xml:space="preserve">198909032010011002  </t>
  </si>
  <si>
    <t xml:space="preserve">199604192018011003 </t>
  </si>
  <si>
    <t xml:space="preserve">199507262015021002 </t>
  </si>
  <si>
    <t xml:space="preserve">199903022018011001 </t>
  </si>
  <si>
    <t>199507082015121002</t>
  </si>
  <si>
    <t>199909302018121001</t>
  </si>
  <si>
    <t xml:space="preserve">199801212018121001 </t>
  </si>
  <si>
    <t>PBC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</si>
</sst>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2B56E-97A1-4939-9C0A-6671D3E7E4DC}">
  <dimension ref="A1:I38"/>
  <sheetViews>
    <sheetView zoomScale="131" workbookViewId="0">
      <selection sqref="A1:XFD1048576"/>
    </sheetView>
  </sheetViews>
  <sheetFormatPr defaultRowHeight="15" x14ac:dyDescent="0.25"/>
  <cols>
    <col min="1" max="1" width="39.28515625" bestFit="1" customWidth="1"/>
    <col min="6" max="6" width="10.7109375" style="1" bestFit="1" customWidth="1"/>
    <col min="7" max="7" width="19.140625" style="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F1" s="1" t="s">
        <v>4</v>
      </c>
      <c r="G1" s="1" t="s">
        <v>5</v>
      </c>
      <c r="H1" t="s">
        <v>6</v>
      </c>
      <c r="I1" t="s">
        <v>7</v>
      </c>
    </row>
    <row r="2" spans="1:9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1">
        <v>45342</v>
      </c>
      <c r="G2" s="1">
        <v>46296</v>
      </c>
      <c r="H2" t="s">
        <v>13</v>
      </c>
      <c r="I2" t="s">
        <v>14</v>
      </c>
    </row>
    <row r="3" spans="1:9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s="1">
        <v>45467</v>
      </c>
      <c r="G3" s="1">
        <v>46296</v>
      </c>
      <c r="H3" t="s">
        <v>20</v>
      </c>
      <c r="I3" t="s">
        <v>21</v>
      </c>
    </row>
    <row r="4" spans="1:9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s="1">
        <v>45793</v>
      </c>
      <c r="G4" s="1">
        <v>46296</v>
      </c>
      <c r="H4" t="s">
        <v>27</v>
      </c>
      <c r="I4" t="s">
        <v>28</v>
      </c>
    </row>
    <row r="5" spans="1:9" x14ac:dyDescent="0.25">
      <c r="A5" t="s">
        <v>29</v>
      </c>
      <c r="B5" t="s">
        <v>23</v>
      </c>
      <c r="C5" t="s">
        <v>30</v>
      </c>
      <c r="D5" t="s">
        <v>31</v>
      </c>
      <c r="E5" t="s">
        <v>32</v>
      </c>
      <c r="F5" s="1">
        <v>45793</v>
      </c>
      <c r="G5" s="1">
        <v>46296</v>
      </c>
      <c r="H5" t="s">
        <v>27</v>
      </c>
      <c r="I5" t="s">
        <v>28</v>
      </c>
    </row>
    <row r="6" spans="1:9" x14ac:dyDescent="0.25">
      <c r="A6" t="s">
        <v>33</v>
      </c>
      <c r="B6" t="s">
        <v>23</v>
      </c>
      <c r="C6" t="s">
        <v>34</v>
      </c>
      <c r="D6" t="s">
        <v>35</v>
      </c>
      <c r="E6" t="s">
        <v>36</v>
      </c>
      <c r="F6" s="1">
        <v>45793</v>
      </c>
      <c r="G6" s="1">
        <v>46296</v>
      </c>
      <c r="H6" t="s">
        <v>27</v>
      </c>
      <c r="I6" t="s">
        <v>28</v>
      </c>
    </row>
    <row r="7" spans="1:9" x14ac:dyDescent="0.25">
      <c r="A7" t="s">
        <v>37</v>
      </c>
      <c r="B7" t="s">
        <v>38</v>
      </c>
      <c r="C7" t="s">
        <v>39</v>
      </c>
      <c r="D7" t="s">
        <v>40</v>
      </c>
      <c r="E7" t="s">
        <v>41</v>
      </c>
      <c r="F7" s="1">
        <v>44698</v>
      </c>
      <c r="G7" s="1">
        <v>46296</v>
      </c>
      <c r="H7" t="s">
        <v>42</v>
      </c>
      <c r="I7" t="s">
        <v>43</v>
      </c>
    </row>
    <row r="8" spans="1:9" s="2" customFormat="1" x14ac:dyDescent="0.25">
      <c r="A8" s="2" t="s">
        <v>44</v>
      </c>
      <c r="B8" s="2" t="s">
        <v>38</v>
      </c>
      <c r="C8" s="2" t="s">
        <v>45</v>
      </c>
      <c r="D8" s="2" t="s">
        <v>46</v>
      </c>
      <c r="E8" s="2" t="s">
        <v>47</v>
      </c>
      <c r="F8" s="3">
        <v>44942</v>
      </c>
      <c r="G8" s="3">
        <v>46296</v>
      </c>
      <c r="H8" s="2" t="s">
        <v>48</v>
      </c>
      <c r="I8" s="2" t="s">
        <v>43</v>
      </c>
    </row>
    <row r="9" spans="1:9" s="2" customFormat="1" x14ac:dyDescent="0.25">
      <c r="A9" s="2" t="s">
        <v>49</v>
      </c>
      <c r="B9" s="2" t="s">
        <v>16</v>
      </c>
      <c r="C9" s="2" t="s">
        <v>50</v>
      </c>
      <c r="D9" s="2" t="s">
        <v>51</v>
      </c>
      <c r="E9" s="2" t="s">
        <v>19</v>
      </c>
      <c r="F9" s="3">
        <v>45628</v>
      </c>
      <c r="G9" s="3">
        <v>46296</v>
      </c>
      <c r="H9" s="2" t="s">
        <v>52</v>
      </c>
      <c r="I9" s="2" t="s">
        <v>53</v>
      </c>
    </row>
    <row r="10" spans="1:9" x14ac:dyDescent="0.25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s="1">
        <v>45467</v>
      </c>
      <c r="G10" s="1">
        <v>46296</v>
      </c>
      <c r="H10" t="s">
        <v>20</v>
      </c>
      <c r="I10" t="s">
        <v>53</v>
      </c>
    </row>
    <row r="11" spans="1:9" x14ac:dyDescent="0.25">
      <c r="A11" t="s">
        <v>59</v>
      </c>
      <c r="B11" t="s">
        <v>55</v>
      </c>
      <c r="C11" t="s">
        <v>60</v>
      </c>
      <c r="D11" t="s">
        <v>61</v>
      </c>
      <c r="E11" t="s">
        <v>62</v>
      </c>
      <c r="F11" s="1">
        <v>43903</v>
      </c>
      <c r="G11" s="1">
        <v>46296</v>
      </c>
      <c r="H11" t="s">
        <v>63</v>
      </c>
      <c r="I11" t="s">
        <v>53</v>
      </c>
    </row>
    <row r="12" spans="1:9" x14ac:dyDescent="0.25">
      <c r="A12" t="s">
        <v>64</v>
      </c>
      <c r="B12" t="s">
        <v>38</v>
      </c>
      <c r="C12" t="s">
        <v>65</v>
      </c>
      <c r="D12" t="s">
        <v>66</v>
      </c>
      <c r="E12" t="s">
        <v>67</v>
      </c>
      <c r="F12" s="1">
        <v>46010</v>
      </c>
      <c r="G12" s="1">
        <v>46296</v>
      </c>
      <c r="H12" t="s">
        <v>68</v>
      </c>
      <c r="I12" t="s">
        <v>69</v>
      </c>
    </row>
    <row r="13" spans="1:9" x14ac:dyDescent="0.25">
      <c r="A13" t="s">
        <v>70</v>
      </c>
      <c r="B13" t="s">
        <v>16</v>
      </c>
      <c r="C13" t="s">
        <v>71</v>
      </c>
      <c r="D13" t="s">
        <v>72</v>
      </c>
      <c r="E13" t="s">
        <v>73</v>
      </c>
      <c r="F13" s="1">
        <v>45219</v>
      </c>
      <c r="G13" s="1">
        <v>46296</v>
      </c>
      <c r="H13" t="s">
        <v>74</v>
      </c>
      <c r="I13" t="s">
        <v>53</v>
      </c>
    </row>
    <row r="14" spans="1:9" x14ac:dyDescent="0.25">
      <c r="A14" t="s">
        <v>75</v>
      </c>
      <c r="B14" t="s">
        <v>55</v>
      </c>
      <c r="C14" t="s">
        <v>76</v>
      </c>
      <c r="D14" t="s">
        <v>77</v>
      </c>
      <c r="E14" t="s">
        <v>78</v>
      </c>
      <c r="F14" s="1">
        <v>45219</v>
      </c>
      <c r="G14" s="1">
        <v>46296</v>
      </c>
      <c r="H14" t="s">
        <v>74</v>
      </c>
      <c r="I14" t="s">
        <v>53</v>
      </c>
    </row>
    <row r="15" spans="1:9" x14ac:dyDescent="0.25">
      <c r="A15" t="s">
        <v>79</v>
      </c>
      <c r="B15" t="s">
        <v>16</v>
      </c>
      <c r="C15" t="s">
        <v>80</v>
      </c>
      <c r="D15" t="s">
        <v>81</v>
      </c>
      <c r="E15" t="s">
        <v>82</v>
      </c>
      <c r="F15" s="1">
        <v>44908</v>
      </c>
      <c r="G15" s="1">
        <v>46296</v>
      </c>
      <c r="H15" t="s">
        <v>83</v>
      </c>
      <c r="I15" t="s">
        <v>53</v>
      </c>
    </row>
    <row r="16" spans="1:9" x14ac:dyDescent="0.25">
      <c r="A16" t="s">
        <v>84</v>
      </c>
      <c r="B16" t="s">
        <v>85</v>
      </c>
      <c r="C16" t="s">
        <v>86</v>
      </c>
      <c r="D16" t="s">
        <v>87</v>
      </c>
      <c r="E16" t="s">
        <v>88</v>
      </c>
      <c r="F16" s="1">
        <v>44908</v>
      </c>
      <c r="G16" s="1">
        <v>46296</v>
      </c>
      <c r="H16" t="s">
        <v>83</v>
      </c>
      <c r="I16" t="s">
        <v>53</v>
      </c>
    </row>
    <row r="17" spans="1:9" x14ac:dyDescent="0.25">
      <c r="A17" t="s">
        <v>89</v>
      </c>
      <c r="B17" t="s">
        <v>90</v>
      </c>
      <c r="C17" t="s">
        <v>91</v>
      </c>
      <c r="D17" t="s">
        <v>92</v>
      </c>
      <c r="E17" t="s">
        <v>93</v>
      </c>
      <c r="F17" s="1">
        <v>45219</v>
      </c>
      <c r="G17" s="1">
        <v>46296</v>
      </c>
      <c r="H17" t="s">
        <v>74</v>
      </c>
      <c r="I17" t="s">
        <v>94</v>
      </c>
    </row>
    <row r="18" spans="1:9" x14ac:dyDescent="0.25">
      <c r="A18" t="s">
        <v>95</v>
      </c>
      <c r="B18" t="s">
        <v>90</v>
      </c>
      <c r="C18" t="s">
        <v>96</v>
      </c>
      <c r="D18" t="s">
        <v>97</v>
      </c>
      <c r="E18" t="s">
        <v>98</v>
      </c>
      <c r="F18" s="1">
        <v>44650</v>
      </c>
      <c r="G18" s="1">
        <v>46296</v>
      </c>
      <c r="H18" t="s">
        <v>99</v>
      </c>
      <c r="I18" t="s">
        <v>94</v>
      </c>
    </row>
    <row r="19" spans="1:9" x14ac:dyDescent="0.25">
      <c r="A19" t="s">
        <v>100</v>
      </c>
      <c r="B19" t="s">
        <v>90</v>
      </c>
      <c r="C19" t="s">
        <v>101</v>
      </c>
      <c r="D19" t="s">
        <v>102</v>
      </c>
      <c r="E19" t="s">
        <v>103</v>
      </c>
      <c r="F19" s="1">
        <v>44650</v>
      </c>
      <c r="G19" s="1">
        <v>46296</v>
      </c>
      <c r="H19" t="s">
        <v>99</v>
      </c>
      <c r="I19" t="s">
        <v>94</v>
      </c>
    </row>
    <row r="20" spans="1:9" x14ac:dyDescent="0.25">
      <c r="A20" t="s">
        <v>104</v>
      </c>
      <c r="B20" t="s">
        <v>16</v>
      </c>
      <c r="C20" t="s">
        <v>105</v>
      </c>
      <c r="D20" t="s">
        <v>106</v>
      </c>
      <c r="E20" t="s">
        <v>107</v>
      </c>
      <c r="F20" s="1">
        <v>45219</v>
      </c>
      <c r="G20" s="1">
        <v>46296</v>
      </c>
      <c r="H20" t="s">
        <v>74</v>
      </c>
      <c r="I20" t="s">
        <v>94</v>
      </c>
    </row>
    <row r="21" spans="1:9" s="2" customFormat="1" x14ac:dyDescent="0.25">
      <c r="A21" s="2" t="s">
        <v>108</v>
      </c>
      <c r="B21" s="2" t="s">
        <v>85</v>
      </c>
      <c r="C21" s="2" t="s">
        <v>109</v>
      </c>
      <c r="D21" s="2" t="s">
        <v>110</v>
      </c>
      <c r="E21" s="2" t="s">
        <v>111</v>
      </c>
      <c r="F21" s="3">
        <v>44887</v>
      </c>
      <c r="G21" s="3">
        <v>46296</v>
      </c>
      <c r="H21" s="2" t="s">
        <v>112</v>
      </c>
      <c r="I21" s="2" t="s">
        <v>94</v>
      </c>
    </row>
    <row r="22" spans="1:9" x14ac:dyDescent="0.25">
      <c r="A22" t="s">
        <v>113</v>
      </c>
      <c r="B22" t="s">
        <v>38</v>
      </c>
      <c r="C22" t="s">
        <v>114</v>
      </c>
      <c r="D22" t="s">
        <v>115</v>
      </c>
      <c r="E22" t="s">
        <v>116</v>
      </c>
      <c r="F22" s="1">
        <v>45582</v>
      </c>
      <c r="G22" s="1">
        <v>46296</v>
      </c>
      <c r="H22" t="s">
        <v>117</v>
      </c>
      <c r="I22" t="s">
        <v>118</v>
      </c>
    </row>
    <row r="23" spans="1:9" x14ac:dyDescent="0.25">
      <c r="A23" t="s">
        <v>119</v>
      </c>
      <c r="B23" t="s">
        <v>38</v>
      </c>
      <c r="C23" t="s">
        <v>120</v>
      </c>
      <c r="D23" t="s">
        <v>121</v>
      </c>
      <c r="E23" t="s">
        <v>122</v>
      </c>
      <c r="F23" s="1">
        <v>44908</v>
      </c>
      <c r="G23" s="1">
        <v>46296</v>
      </c>
      <c r="H23" t="s">
        <v>83</v>
      </c>
      <c r="I23" t="s">
        <v>94</v>
      </c>
    </row>
    <row r="24" spans="1:9" x14ac:dyDescent="0.25">
      <c r="A24" t="s">
        <v>123</v>
      </c>
      <c r="B24" t="s">
        <v>90</v>
      </c>
      <c r="C24" t="s">
        <v>124</v>
      </c>
      <c r="D24" t="s">
        <v>125</v>
      </c>
      <c r="E24" t="s">
        <v>126</v>
      </c>
      <c r="F24" s="1">
        <v>44908</v>
      </c>
      <c r="G24" s="1">
        <v>46296</v>
      </c>
      <c r="H24" t="s">
        <v>83</v>
      </c>
      <c r="I24" t="s">
        <v>94</v>
      </c>
    </row>
    <row r="25" spans="1:9" s="2" customFormat="1" x14ac:dyDescent="0.25">
      <c r="A25" s="2" t="s">
        <v>127</v>
      </c>
      <c r="B25" s="2" t="s">
        <v>55</v>
      </c>
      <c r="C25" s="2" t="s">
        <v>128</v>
      </c>
      <c r="D25" s="2" t="s">
        <v>129</v>
      </c>
      <c r="E25" s="2" t="s">
        <v>130</v>
      </c>
      <c r="F25" s="3">
        <v>44760</v>
      </c>
      <c r="G25" s="3">
        <v>46296</v>
      </c>
      <c r="H25" s="2" t="s">
        <v>131</v>
      </c>
      <c r="I25" s="2" t="s">
        <v>132</v>
      </c>
    </row>
    <row r="26" spans="1:9" x14ac:dyDescent="0.25">
      <c r="A26" t="s">
        <v>133</v>
      </c>
      <c r="B26" t="s">
        <v>90</v>
      </c>
      <c r="C26" t="s">
        <v>134</v>
      </c>
      <c r="D26" t="s">
        <v>135</v>
      </c>
      <c r="E26" t="s">
        <v>126</v>
      </c>
      <c r="F26" s="1">
        <v>45628</v>
      </c>
      <c r="G26" s="1">
        <v>46296</v>
      </c>
      <c r="H26" t="s">
        <v>52</v>
      </c>
      <c r="I26" t="s">
        <v>132</v>
      </c>
    </row>
    <row r="27" spans="1:9" x14ac:dyDescent="0.25">
      <c r="A27" t="s">
        <v>186</v>
      </c>
      <c r="B27" t="s">
        <v>136</v>
      </c>
      <c r="C27" t="s">
        <v>137</v>
      </c>
      <c r="D27">
        <v>33523</v>
      </c>
      <c r="E27" t="s">
        <v>82</v>
      </c>
      <c r="F27" s="1">
        <v>46091</v>
      </c>
      <c r="G27" s="1">
        <v>46296</v>
      </c>
      <c r="H27" t="s">
        <v>138</v>
      </c>
      <c r="I27" t="s">
        <v>139</v>
      </c>
    </row>
    <row r="28" spans="1:9" s="2" customFormat="1" x14ac:dyDescent="0.25">
      <c r="A28" s="2" t="s">
        <v>140</v>
      </c>
      <c r="B28" s="2" t="s">
        <v>16</v>
      </c>
      <c r="C28" s="2" t="s">
        <v>141</v>
      </c>
      <c r="D28" s="2" t="s">
        <v>142</v>
      </c>
      <c r="E28" s="2" t="s">
        <v>143</v>
      </c>
      <c r="F28" s="3">
        <v>45063</v>
      </c>
      <c r="G28" s="3">
        <v>46296</v>
      </c>
      <c r="H28" s="2" t="s">
        <v>144</v>
      </c>
      <c r="I28" s="2" t="s">
        <v>145</v>
      </c>
    </row>
    <row r="29" spans="1:9" x14ac:dyDescent="0.25">
      <c r="A29" t="s">
        <v>146</v>
      </c>
      <c r="B29" t="s">
        <v>55</v>
      </c>
      <c r="C29" t="s">
        <v>147</v>
      </c>
      <c r="D29" t="s">
        <v>148</v>
      </c>
      <c r="E29" t="s">
        <v>149</v>
      </c>
      <c r="F29" s="1">
        <v>45219</v>
      </c>
      <c r="G29" s="1">
        <v>46296</v>
      </c>
      <c r="H29" t="s">
        <v>74</v>
      </c>
      <c r="I29" t="s">
        <v>145</v>
      </c>
    </row>
    <row r="30" spans="1:9" s="2" customFormat="1" x14ac:dyDescent="0.25">
      <c r="A30" s="2" t="s">
        <v>150</v>
      </c>
      <c r="B30" s="2" t="s">
        <v>55</v>
      </c>
      <c r="C30" s="2" t="s">
        <v>151</v>
      </c>
      <c r="D30" s="2" t="s">
        <v>152</v>
      </c>
      <c r="E30" s="2" t="s">
        <v>153</v>
      </c>
      <c r="F30" s="3">
        <v>45467</v>
      </c>
      <c r="G30" s="3">
        <v>46296</v>
      </c>
      <c r="H30" s="2" t="s">
        <v>20</v>
      </c>
      <c r="I30" s="2" t="s">
        <v>145</v>
      </c>
    </row>
    <row r="31" spans="1:9" s="2" customFormat="1" x14ac:dyDescent="0.25">
      <c r="A31" s="2" t="s">
        <v>154</v>
      </c>
      <c r="B31" s="2" t="s">
        <v>90</v>
      </c>
      <c r="C31" s="2" t="s">
        <v>155</v>
      </c>
      <c r="D31" s="2" t="s">
        <v>156</v>
      </c>
      <c r="E31" s="2" t="s">
        <v>62</v>
      </c>
      <c r="F31" s="3">
        <v>44650</v>
      </c>
      <c r="G31" s="3">
        <v>46296</v>
      </c>
      <c r="H31" s="2" t="s">
        <v>99</v>
      </c>
      <c r="I31" s="2" t="s">
        <v>145</v>
      </c>
    </row>
    <row r="32" spans="1:9" x14ac:dyDescent="0.25">
      <c r="A32" t="s">
        <v>157</v>
      </c>
      <c r="B32" t="s">
        <v>38</v>
      </c>
      <c r="C32" t="s">
        <v>158</v>
      </c>
      <c r="D32" t="s">
        <v>159</v>
      </c>
      <c r="E32" t="s">
        <v>160</v>
      </c>
      <c r="F32" s="1">
        <v>45582</v>
      </c>
      <c r="G32" s="1">
        <v>46296</v>
      </c>
      <c r="H32" t="s">
        <v>117</v>
      </c>
      <c r="I32" t="s">
        <v>161</v>
      </c>
    </row>
    <row r="33" spans="1:9" s="2" customFormat="1" x14ac:dyDescent="0.25">
      <c r="A33" s="2" t="s">
        <v>162</v>
      </c>
      <c r="B33" s="2" t="s">
        <v>90</v>
      </c>
      <c r="C33" s="2" t="s">
        <v>163</v>
      </c>
      <c r="D33" s="2" t="s">
        <v>164</v>
      </c>
      <c r="E33" s="2" t="s">
        <v>153</v>
      </c>
      <c r="F33" s="3">
        <v>44650</v>
      </c>
      <c r="G33" s="3">
        <v>46296</v>
      </c>
      <c r="H33" s="2" t="s">
        <v>99</v>
      </c>
      <c r="I33" s="2" t="s">
        <v>145</v>
      </c>
    </row>
    <row r="34" spans="1:9" x14ac:dyDescent="0.25">
      <c r="A34" t="s">
        <v>165</v>
      </c>
      <c r="B34" t="s">
        <v>16</v>
      </c>
      <c r="C34" t="s">
        <v>166</v>
      </c>
      <c r="D34" t="s">
        <v>167</v>
      </c>
      <c r="E34" t="s">
        <v>168</v>
      </c>
      <c r="F34" s="1">
        <v>44760</v>
      </c>
      <c r="G34" s="1">
        <v>46296</v>
      </c>
      <c r="H34" t="s">
        <v>131</v>
      </c>
      <c r="I34" t="s">
        <v>21</v>
      </c>
    </row>
    <row r="35" spans="1:9" x14ac:dyDescent="0.25">
      <c r="A35" t="s">
        <v>169</v>
      </c>
      <c r="B35" t="s">
        <v>55</v>
      </c>
      <c r="C35" t="s">
        <v>170</v>
      </c>
      <c r="D35" t="s">
        <v>171</v>
      </c>
      <c r="E35" t="s">
        <v>172</v>
      </c>
      <c r="F35" s="1">
        <v>45467</v>
      </c>
      <c r="G35" s="1">
        <v>46296</v>
      </c>
      <c r="H35" t="s">
        <v>20</v>
      </c>
      <c r="I35" t="s">
        <v>21</v>
      </c>
    </row>
    <row r="36" spans="1:9" x14ac:dyDescent="0.25">
      <c r="A36" t="s">
        <v>173</v>
      </c>
      <c r="B36" t="s">
        <v>90</v>
      </c>
      <c r="C36" t="s">
        <v>174</v>
      </c>
      <c r="D36" t="s">
        <v>175</v>
      </c>
      <c r="E36" t="s">
        <v>176</v>
      </c>
      <c r="F36" s="1">
        <v>44650</v>
      </c>
      <c r="G36" s="1">
        <v>46296</v>
      </c>
      <c r="H36" t="s">
        <v>99</v>
      </c>
      <c r="I36" t="s">
        <v>21</v>
      </c>
    </row>
    <row r="37" spans="1:9" x14ac:dyDescent="0.25">
      <c r="A37" t="s">
        <v>177</v>
      </c>
      <c r="B37" t="s">
        <v>136</v>
      </c>
      <c r="C37" t="s">
        <v>178</v>
      </c>
      <c r="D37" t="s">
        <v>179</v>
      </c>
      <c r="E37" t="s">
        <v>180</v>
      </c>
      <c r="F37" s="1">
        <v>46010</v>
      </c>
      <c r="G37" s="1">
        <v>46296</v>
      </c>
      <c r="H37" t="s">
        <v>68</v>
      </c>
      <c r="I37" t="s">
        <v>181</v>
      </c>
    </row>
    <row r="38" spans="1:9" x14ac:dyDescent="0.25">
      <c r="A38" t="s">
        <v>182</v>
      </c>
      <c r="B38" t="s">
        <v>23</v>
      </c>
      <c r="C38" t="s">
        <v>183</v>
      </c>
      <c r="D38" t="s">
        <v>184</v>
      </c>
      <c r="E38" t="s">
        <v>185</v>
      </c>
      <c r="F38" s="1">
        <v>45793</v>
      </c>
      <c r="G38" s="1">
        <v>46296</v>
      </c>
      <c r="H38" t="s">
        <v>27</v>
      </c>
      <c r="I38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621FE-66C1-4EEC-A642-4AE15E5958C3}">
  <dimension ref="A1:I41"/>
  <sheetViews>
    <sheetView tabSelected="1" topLeftCell="A5" zoomScale="112" workbookViewId="0">
      <selection activeCell="C35" sqref="C35"/>
    </sheetView>
  </sheetViews>
  <sheetFormatPr defaultRowHeight="15" x14ac:dyDescent="0.25"/>
  <cols>
    <col min="2" max="2" width="39.28515625" bestFit="1" customWidth="1"/>
    <col min="4" max="4" width="20.140625" bestFit="1" customWidth="1"/>
    <col min="5" max="5" width="10.7109375" style="1" bestFit="1" customWidth="1"/>
    <col min="6" max="6" width="16.85546875" bestFit="1" customWidth="1"/>
    <col min="7" max="7" width="16.85546875" style="1" bestFit="1" customWidth="1"/>
    <col min="8" max="8" width="19.140625" style="1" bestFit="1" customWidth="1"/>
    <col min="9" max="9" width="230.5703125" bestFit="1" customWidth="1"/>
  </cols>
  <sheetData>
    <row r="1" spans="1:9" x14ac:dyDescent="0.25">
      <c r="A1" t="s">
        <v>187</v>
      </c>
      <c r="B1" t="s">
        <v>0</v>
      </c>
      <c r="C1" t="s">
        <v>1</v>
      </c>
      <c r="D1" t="s">
        <v>2</v>
      </c>
      <c r="E1" s="1" t="s">
        <v>3</v>
      </c>
      <c r="F1" t="s">
        <v>188</v>
      </c>
      <c r="G1" s="1" t="s">
        <v>4</v>
      </c>
      <c r="H1" s="1" t="s">
        <v>5</v>
      </c>
      <c r="I1" t="s">
        <v>7</v>
      </c>
    </row>
    <row r="2" spans="1:9" x14ac:dyDescent="0.25">
      <c r="A2">
        <v>1</v>
      </c>
      <c r="B2" t="s">
        <v>8</v>
      </c>
      <c r="C2" t="s">
        <v>9</v>
      </c>
      <c r="D2" t="s">
        <v>10</v>
      </c>
      <c r="E2" s="1" t="s">
        <v>11</v>
      </c>
      <c r="F2" t="str">
        <f ca="1">DATEDIF(E2,TODAY(),"Y")&amp;" Tahun "&amp;DATEDIF(E2,TODAY(),"YM")&amp;" Bulan"</f>
        <v>49 Tahun 6 Bulan</v>
      </c>
      <c r="G2" s="1">
        <v>45342</v>
      </c>
      <c r="H2" s="1" t="str">
        <f ca="1">DATEDIF(G2,TODAY(),"Y")&amp;" Tahun "&amp;DATEDIF(G2,TODAY(),"YM")&amp;" Bulan"</f>
        <v>2 Tahun 7 Bulan</v>
      </c>
      <c r="I2" t="s">
        <v>14</v>
      </c>
    </row>
    <row r="3" spans="1:9" x14ac:dyDescent="0.25">
      <c r="A3">
        <v>2</v>
      </c>
      <c r="B3" t="s">
        <v>15</v>
      </c>
      <c r="C3" t="s">
        <v>16</v>
      </c>
      <c r="D3" t="s">
        <v>17</v>
      </c>
      <c r="E3" s="1" t="s">
        <v>18</v>
      </c>
      <c r="F3" t="str">
        <f t="shared" ref="F3:F41" ca="1" si="0">DATEDIF(E3,TODAY(),"Y")&amp;" Tahun "&amp;DATEDIF(E3,TODAY(),"YM")&amp;" Bulan"</f>
        <v>34 Tahun 5 Bulan</v>
      </c>
      <c r="G3" s="1">
        <v>45467</v>
      </c>
      <c r="H3" s="1" t="str">
        <f t="shared" ref="H3:H41" ca="1" si="1">DATEDIF(G3,TODAY(),"Y")&amp;" Tahun "&amp;DATEDIF(G3,TODAY(),"YM")&amp;" Bulan"</f>
        <v>2 Tahun 3 Bulan</v>
      </c>
      <c r="I3" t="s">
        <v>21</v>
      </c>
    </row>
    <row r="4" spans="1:9" x14ac:dyDescent="0.25">
      <c r="A4">
        <v>3</v>
      </c>
      <c r="B4" t="s">
        <v>22</v>
      </c>
      <c r="C4" t="s">
        <v>23</v>
      </c>
      <c r="D4" t="s">
        <v>24</v>
      </c>
      <c r="E4" s="1" t="s">
        <v>25</v>
      </c>
      <c r="F4" t="str">
        <f t="shared" ca="1" si="0"/>
        <v>21 Tahun 11 Bulan</v>
      </c>
      <c r="G4" s="1">
        <v>45793</v>
      </c>
      <c r="H4" s="1" t="str">
        <f t="shared" ca="1" si="1"/>
        <v>1 Tahun 4 Bulan</v>
      </c>
      <c r="I4" t="s">
        <v>28</v>
      </c>
    </row>
    <row r="5" spans="1:9" x14ac:dyDescent="0.25">
      <c r="A5">
        <v>4</v>
      </c>
      <c r="B5" t="s">
        <v>29</v>
      </c>
      <c r="C5" t="s">
        <v>23</v>
      </c>
      <c r="D5" t="s">
        <v>30</v>
      </c>
      <c r="E5" s="1" t="s">
        <v>31</v>
      </c>
      <c r="F5" t="str">
        <f t="shared" ca="1" si="0"/>
        <v>23 Tahun 3 Bulan</v>
      </c>
      <c r="G5" s="1">
        <v>45793</v>
      </c>
      <c r="H5" s="1" t="str">
        <f t="shared" ca="1" si="1"/>
        <v>1 Tahun 4 Bulan</v>
      </c>
      <c r="I5" t="s">
        <v>28</v>
      </c>
    </row>
    <row r="6" spans="1:9" x14ac:dyDescent="0.25">
      <c r="A6">
        <v>5</v>
      </c>
      <c r="B6" t="s">
        <v>33</v>
      </c>
      <c r="C6" t="s">
        <v>23</v>
      </c>
      <c r="D6" t="s">
        <v>34</v>
      </c>
      <c r="E6" s="1" t="s">
        <v>35</v>
      </c>
      <c r="F6" t="str">
        <f t="shared" ca="1" si="0"/>
        <v>20 Tahun 11 Bulan</v>
      </c>
      <c r="G6" s="1">
        <v>45793</v>
      </c>
      <c r="H6" s="1" t="str">
        <f t="shared" ca="1" si="1"/>
        <v>1 Tahun 4 Bulan</v>
      </c>
      <c r="I6" t="s">
        <v>28</v>
      </c>
    </row>
    <row r="7" spans="1:9" x14ac:dyDescent="0.25">
      <c r="A7">
        <v>6</v>
      </c>
      <c r="B7" t="s">
        <v>37</v>
      </c>
      <c r="C7" t="s">
        <v>38</v>
      </c>
      <c r="D7" t="s">
        <v>39</v>
      </c>
      <c r="E7" s="1" t="s">
        <v>40</v>
      </c>
      <c r="F7" t="str">
        <f t="shared" ca="1" si="0"/>
        <v>35 Tahun 10 Bulan</v>
      </c>
      <c r="G7" s="1">
        <v>44698</v>
      </c>
      <c r="H7" s="1" t="str">
        <f t="shared" ca="1" si="1"/>
        <v>4 Tahun 4 Bulan</v>
      </c>
      <c r="I7" t="s">
        <v>43</v>
      </c>
    </row>
    <row r="8" spans="1:9" x14ac:dyDescent="0.25">
      <c r="A8">
        <v>7</v>
      </c>
      <c r="B8" t="s">
        <v>54</v>
      </c>
      <c r="C8" t="s">
        <v>55</v>
      </c>
      <c r="D8" t="s">
        <v>56</v>
      </c>
      <c r="E8" s="1" t="s">
        <v>57</v>
      </c>
      <c r="F8" t="str">
        <f t="shared" ca="1" si="0"/>
        <v>28 Tahun 1 Bulan</v>
      </c>
      <c r="G8" s="1">
        <v>45467</v>
      </c>
      <c r="H8" s="1" t="str">
        <f t="shared" ca="1" si="1"/>
        <v>2 Tahun 3 Bulan</v>
      </c>
      <c r="I8" t="s">
        <v>53</v>
      </c>
    </row>
    <row r="9" spans="1:9" x14ac:dyDescent="0.25">
      <c r="A9">
        <v>8</v>
      </c>
      <c r="B9" t="s">
        <v>64</v>
      </c>
      <c r="C9" t="s">
        <v>38</v>
      </c>
      <c r="D9" t="s">
        <v>65</v>
      </c>
      <c r="E9" s="1" t="s">
        <v>66</v>
      </c>
      <c r="F9" t="str">
        <f t="shared" ca="1" si="0"/>
        <v>45 Tahun 0 Bulan</v>
      </c>
      <c r="G9" s="1">
        <v>46010</v>
      </c>
      <c r="H9" s="1" t="str">
        <f t="shared" ca="1" si="1"/>
        <v>0 Tahun 9 Bulan</v>
      </c>
      <c r="I9" t="s">
        <v>69</v>
      </c>
    </row>
    <row r="10" spans="1:9" x14ac:dyDescent="0.25">
      <c r="A10">
        <v>9</v>
      </c>
      <c r="B10" t="s">
        <v>70</v>
      </c>
      <c r="C10" t="s">
        <v>16</v>
      </c>
      <c r="D10" t="s">
        <v>71</v>
      </c>
      <c r="E10" s="1" t="s">
        <v>72</v>
      </c>
      <c r="F10" t="str">
        <f t="shared" ca="1" si="0"/>
        <v>34 Tahun 4 Bulan</v>
      </c>
      <c r="G10" s="1">
        <v>45219</v>
      </c>
      <c r="H10" s="1" t="str">
        <f t="shared" ca="1" si="1"/>
        <v>2 Tahun 11 Bulan</v>
      </c>
      <c r="I10" t="s">
        <v>53</v>
      </c>
    </row>
    <row r="11" spans="1:9" x14ac:dyDescent="0.25">
      <c r="A11">
        <v>10</v>
      </c>
      <c r="B11" t="s">
        <v>75</v>
      </c>
      <c r="C11" t="s">
        <v>55</v>
      </c>
      <c r="D11" t="s">
        <v>76</v>
      </c>
      <c r="E11" s="1" t="s">
        <v>77</v>
      </c>
      <c r="F11" t="str">
        <f t="shared" ca="1" si="0"/>
        <v>27 Tahun 2 Bulan</v>
      </c>
      <c r="G11" s="1">
        <v>45219</v>
      </c>
      <c r="H11" s="1" t="str">
        <f t="shared" ca="1" si="1"/>
        <v>2 Tahun 11 Bulan</v>
      </c>
      <c r="I11" t="s">
        <v>53</v>
      </c>
    </row>
    <row r="12" spans="1:9" x14ac:dyDescent="0.25">
      <c r="A12">
        <v>11</v>
      </c>
      <c r="B12" t="s">
        <v>79</v>
      </c>
      <c r="C12" t="s">
        <v>16</v>
      </c>
      <c r="D12" t="s">
        <v>80</v>
      </c>
      <c r="E12" s="1" t="s">
        <v>81</v>
      </c>
      <c r="F12" t="str">
        <f t="shared" ca="1" si="0"/>
        <v>34 Tahun 11 Bulan</v>
      </c>
      <c r="G12" s="1">
        <v>44908</v>
      </c>
      <c r="H12" s="1" t="str">
        <f t="shared" ca="1" si="1"/>
        <v>3 Tahun 9 Bulan</v>
      </c>
      <c r="I12" t="s">
        <v>53</v>
      </c>
    </row>
    <row r="13" spans="1:9" x14ac:dyDescent="0.25">
      <c r="A13">
        <v>12</v>
      </c>
      <c r="B13" t="s">
        <v>84</v>
      </c>
      <c r="C13" t="s">
        <v>85</v>
      </c>
      <c r="D13" t="s">
        <v>86</v>
      </c>
      <c r="E13" s="1" t="s">
        <v>87</v>
      </c>
      <c r="F13" t="str">
        <f t="shared" ca="1" si="0"/>
        <v>36 Tahun 11 Bulan</v>
      </c>
      <c r="G13" s="1">
        <v>44908</v>
      </c>
      <c r="H13" s="1" t="str">
        <f t="shared" ca="1" si="1"/>
        <v>3 Tahun 9 Bulan</v>
      </c>
      <c r="I13" t="s">
        <v>53</v>
      </c>
    </row>
    <row r="14" spans="1:9" x14ac:dyDescent="0.25">
      <c r="A14">
        <v>13</v>
      </c>
      <c r="B14" t="s">
        <v>89</v>
      </c>
      <c r="C14" t="s">
        <v>90</v>
      </c>
      <c r="D14" t="s">
        <v>91</v>
      </c>
      <c r="E14" s="1" t="s">
        <v>92</v>
      </c>
      <c r="F14" t="str">
        <f t="shared" ca="1" si="0"/>
        <v>31 Tahun 0 Bulan</v>
      </c>
      <c r="G14" s="1">
        <v>45219</v>
      </c>
      <c r="H14" s="1" t="str">
        <f t="shared" ca="1" si="1"/>
        <v>2 Tahun 11 Bulan</v>
      </c>
      <c r="I14" t="s">
        <v>94</v>
      </c>
    </row>
    <row r="15" spans="1:9" x14ac:dyDescent="0.25">
      <c r="A15">
        <v>14</v>
      </c>
      <c r="B15" t="s">
        <v>95</v>
      </c>
      <c r="C15" t="s">
        <v>90</v>
      </c>
      <c r="D15" t="s">
        <v>96</v>
      </c>
      <c r="E15" s="1" t="s">
        <v>97</v>
      </c>
      <c r="F15" t="str">
        <f t="shared" ca="1" si="0"/>
        <v>26 Tahun 4 Bulan</v>
      </c>
      <c r="G15" s="1">
        <v>44650</v>
      </c>
      <c r="H15" s="1" t="str">
        <f t="shared" ca="1" si="1"/>
        <v>4 Tahun 6 Bulan</v>
      </c>
      <c r="I15" t="s">
        <v>94</v>
      </c>
    </row>
    <row r="16" spans="1:9" x14ac:dyDescent="0.25">
      <c r="A16">
        <v>15</v>
      </c>
      <c r="B16" t="s">
        <v>100</v>
      </c>
      <c r="C16" t="s">
        <v>90</v>
      </c>
      <c r="D16" t="s">
        <v>101</v>
      </c>
      <c r="E16" s="1" t="s">
        <v>102</v>
      </c>
      <c r="F16" t="str">
        <f t="shared" ca="1" si="0"/>
        <v>26 Tahun 3 Bulan</v>
      </c>
      <c r="G16" s="1">
        <v>44650</v>
      </c>
      <c r="H16" s="1" t="str">
        <f t="shared" ca="1" si="1"/>
        <v>4 Tahun 6 Bulan</v>
      </c>
      <c r="I16" t="s">
        <v>94</v>
      </c>
    </row>
    <row r="17" spans="1:9" x14ac:dyDescent="0.25">
      <c r="A17">
        <v>16</v>
      </c>
      <c r="B17" t="s">
        <v>104</v>
      </c>
      <c r="C17" t="s">
        <v>16</v>
      </c>
      <c r="D17" t="s">
        <v>105</v>
      </c>
      <c r="E17" s="1" t="s">
        <v>106</v>
      </c>
      <c r="F17" t="str">
        <f t="shared" ca="1" si="0"/>
        <v>28 Tahun 7 Bulan</v>
      </c>
      <c r="G17" s="1">
        <v>45219</v>
      </c>
      <c r="H17" s="1" t="str">
        <f t="shared" ca="1" si="1"/>
        <v>2 Tahun 11 Bulan</v>
      </c>
      <c r="I17" t="s">
        <v>94</v>
      </c>
    </row>
    <row r="18" spans="1:9" x14ac:dyDescent="0.25">
      <c r="A18">
        <v>17</v>
      </c>
      <c r="B18" t="s">
        <v>113</v>
      </c>
      <c r="C18" t="s">
        <v>38</v>
      </c>
      <c r="D18" t="s">
        <v>114</v>
      </c>
      <c r="E18" s="1" t="s">
        <v>115</v>
      </c>
      <c r="F18" t="str">
        <f t="shared" ca="1" si="0"/>
        <v>43 Tahun 4 Bulan</v>
      </c>
      <c r="G18" s="1">
        <v>45582</v>
      </c>
      <c r="H18" s="1" t="str">
        <f t="shared" ca="1" si="1"/>
        <v>1 Tahun 11 Bulan</v>
      </c>
      <c r="I18" t="s">
        <v>118</v>
      </c>
    </row>
    <row r="19" spans="1:9" x14ac:dyDescent="0.25">
      <c r="A19">
        <v>18</v>
      </c>
      <c r="B19" t="s">
        <v>119</v>
      </c>
      <c r="C19" t="s">
        <v>38</v>
      </c>
      <c r="D19" t="s">
        <v>120</v>
      </c>
      <c r="E19" s="1" t="s">
        <v>121</v>
      </c>
      <c r="F19" t="str">
        <f t="shared" ca="1" si="0"/>
        <v>37 Tahun 1 Bulan</v>
      </c>
      <c r="G19" s="1">
        <v>44908</v>
      </c>
      <c r="H19" s="1" t="str">
        <f t="shared" ca="1" si="1"/>
        <v>3 Tahun 9 Bulan</v>
      </c>
      <c r="I19" t="s">
        <v>94</v>
      </c>
    </row>
    <row r="20" spans="1:9" x14ac:dyDescent="0.25">
      <c r="A20">
        <v>19</v>
      </c>
      <c r="B20" t="s">
        <v>123</v>
      </c>
      <c r="C20" t="s">
        <v>90</v>
      </c>
      <c r="D20" t="s">
        <v>124</v>
      </c>
      <c r="E20" s="1" t="s">
        <v>125</v>
      </c>
      <c r="F20" t="str">
        <f t="shared" ca="1" si="0"/>
        <v>31 Tahun 4 Bulan</v>
      </c>
      <c r="G20" s="1">
        <v>44908</v>
      </c>
      <c r="H20" s="1" t="str">
        <f t="shared" ca="1" si="1"/>
        <v>3 Tahun 9 Bulan</v>
      </c>
      <c r="I20" t="s">
        <v>94</v>
      </c>
    </row>
    <row r="21" spans="1:9" x14ac:dyDescent="0.25">
      <c r="A21">
        <v>20</v>
      </c>
      <c r="B21" t="s">
        <v>133</v>
      </c>
      <c r="C21" t="s">
        <v>90</v>
      </c>
      <c r="D21" t="s">
        <v>134</v>
      </c>
      <c r="E21" s="1" t="s">
        <v>135</v>
      </c>
      <c r="F21" t="str">
        <f t="shared" ca="1" si="0"/>
        <v>31 Tahun 4 Bulan</v>
      </c>
      <c r="G21" s="1">
        <v>45628</v>
      </c>
      <c r="H21" s="1" t="str">
        <f t="shared" ca="1" si="1"/>
        <v>1 Tahun 10 Bulan</v>
      </c>
      <c r="I21" t="s">
        <v>132</v>
      </c>
    </row>
    <row r="22" spans="1:9" x14ac:dyDescent="0.25">
      <c r="A22">
        <v>21</v>
      </c>
      <c r="B22" t="s">
        <v>186</v>
      </c>
      <c r="C22" t="s">
        <v>136</v>
      </c>
      <c r="D22" t="s">
        <v>137</v>
      </c>
      <c r="E22" s="1">
        <v>33523</v>
      </c>
      <c r="F22" t="str">
        <f t="shared" ca="1" si="0"/>
        <v>34 Tahun 11 Bulan</v>
      </c>
      <c r="G22" s="1">
        <v>46091</v>
      </c>
      <c r="H22" s="1" t="str">
        <f t="shared" ca="1" si="1"/>
        <v>0 Tahun 6 Bulan</v>
      </c>
      <c r="I22" t="s">
        <v>139</v>
      </c>
    </row>
    <row r="23" spans="1:9" x14ac:dyDescent="0.25">
      <c r="A23">
        <v>22</v>
      </c>
      <c r="B23" t="s">
        <v>146</v>
      </c>
      <c r="C23" t="s">
        <v>55</v>
      </c>
      <c r="D23" t="s">
        <v>147</v>
      </c>
      <c r="E23" s="1" t="s">
        <v>148</v>
      </c>
      <c r="F23" t="str">
        <f t="shared" ca="1" si="0"/>
        <v>28 Tahun 4 Bulan</v>
      </c>
      <c r="G23" s="1">
        <v>45219</v>
      </c>
      <c r="H23" s="1" t="str">
        <f t="shared" ca="1" si="1"/>
        <v>2 Tahun 11 Bulan</v>
      </c>
      <c r="I23" t="s">
        <v>145</v>
      </c>
    </row>
    <row r="24" spans="1:9" x14ac:dyDescent="0.25">
      <c r="A24">
        <v>23</v>
      </c>
      <c r="B24" t="s">
        <v>157</v>
      </c>
      <c r="C24" t="s">
        <v>38</v>
      </c>
      <c r="D24" t="s">
        <v>158</v>
      </c>
      <c r="E24" s="1" t="s">
        <v>159</v>
      </c>
      <c r="F24" t="str">
        <f t="shared" ca="1" si="0"/>
        <v>41 Tahun 9 Bulan</v>
      </c>
      <c r="G24" s="1">
        <v>45582</v>
      </c>
      <c r="H24" s="1" t="str">
        <f t="shared" ca="1" si="1"/>
        <v>1 Tahun 11 Bulan</v>
      </c>
      <c r="I24" t="s">
        <v>161</v>
      </c>
    </row>
    <row r="25" spans="1:9" x14ac:dyDescent="0.25">
      <c r="A25">
        <v>24</v>
      </c>
      <c r="B25" t="s">
        <v>165</v>
      </c>
      <c r="C25" t="s">
        <v>16</v>
      </c>
      <c r="D25" t="s">
        <v>166</v>
      </c>
      <c r="E25" s="1" t="s">
        <v>167</v>
      </c>
      <c r="F25" t="str">
        <f t="shared" ca="1" si="0"/>
        <v>32 Tahun 11 Bulan</v>
      </c>
      <c r="G25" s="1">
        <v>44760</v>
      </c>
      <c r="H25" s="1" t="str">
        <f t="shared" ca="1" si="1"/>
        <v>4 Tahun 2 Bulan</v>
      </c>
      <c r="I25" t="s">
        <v>21</v>
      </c>
    </row>
    <row r="26" spans="1:9" x14ac:dyDescent="0.25">
      <c r="A26">
        <v>25</v>
      </c>
      <c r="B26" t="s">
        <v>169</v>
      </c>
      <c r="C26" t="s">
        <v>55</v>
      </c>
      <c r="D26" t="s">
        <v>170</v>
      </c>
      <c r="E26" s="1" t="s">
        <v>171</v>
      </c>
      <c r="F26" t="str">
        <f t="shared" ca="1" si="0"/>
        <v>29 Tahun 1 Bulan</v>
      </c>
      <c r="G26" s="1">
        <v>45467</v>
      </c>
      <c r="H26" s="1" t="str">
        <f t="shared" ca="1" si="1"/>
        <v>2 Tahun 3 Bulan</v>
      </c>
      <c r="I26" t="s">
        <v>21</v>
      </c>
    </row>
    <row r="27" spans="1:9" x14ac:dyDescent="0.25">
      <c r="A27">
        <v>26</v>
      </c>
      <c r="B27" t="s">
        <v>173</v>
      </c>
      <c r="C27" t="s">
        <v>90</v>
      </c>
      <c r="D27" t="s">
        <v>174</v>
      </c>
      <c r="E27" s="1" t="s">
        <v>175</v>
      </c>
      <c r="F27" t="str">
        <f t="shared" ca="1" si="0"/>
        <v>27 Tahun 3 Bulan</v>
      </c>
      <c r="G27" s="1">
        <v>44650</v>
      </c>
      <c r="H27" s="1" t="str">
        <f t="shared" ca="1" si="1"/>
        <v>4 Tahun 6 Bulan</v>
      </c>
      <c r="I27" t="s">
        <v>21</v>
      </c>
    </row>
    <row r="28" spans="1:9" x14ac:dyDescent="0.25">
      <c r="A28">
        <v>27</v>
      </c>
      <c r="B28" t="s">
        <v>177</v>
      </c>
      <c r="C28" t="s">
        <v>136</v>
      </c>
      <c r="D28" t="s">
        <v>178</v>
      </c>
      <c r="E28" s="1" t="s">
        <v>179</v>
      </c>
      <c r="F28" t="str">
        <f t="shared" ca="1" si="0"/>
        <v>41 Tahun 3 Bulan</v>
      </c>
      <c r="G28" s="1">
        <v>46010</v>
      </c>
      <c r="H28" s="1" t="str">
        <f t="shared" ca="1" si="1"/>
        <v>0 Tahun 9 Bulan</v>
      </c>
      <c r="I28" t="s">
        <v>181</v>
      </c>
    </row>
    <row r="29" spans="1:9" x14ac:dyDescent="0.25">
      <c r="A29">
        <v>28</v>
      </c>
      <c r="B29" t="s">
        <v>182</v>
      </c>
      <c r="C29" t="s">
        <v>23</v>
      </c>
      <c r="D29" t="s">
        <v>183</v>
      </c>
      <c r="E29" s="1" t="s">
        <v>184</v>
      </c>
      <c r="F29" t="str">
        <f t="shared" ca="1" si="0"/>
        <v>21 Tahun 6 Bulan</v>
      </c>
      <c r="G29" s="1">
        <v>45793</v>
      </c>
      <c r="H29" s="1" t="str">
        <f t="shared" ca="1" si="1"/>
        <v>1 Tahun 4 Bulan</v>
      </c>
      <c r="I29" t="s">
        <v>28</v>
      </c>
    </row>
    <row r="30" spans="1:9" x14ac:dyDescent="0.25">
      <c r="A30">
        <v>29</v>
      </c>
      <c r="B30" t="s">
        <v>189</v>
      </c>
      <c r="D30" t="s">
        <v>201</v>
      </c>
      <c r="E30" s="4">
        <v>32236</v>
      </c>
      <c r="F30" t="str">
        <f ca="1">DATEDIF(E30,TODAY(),"Y")&amp;" Tahun "&amp;DATEDIF(E30,TODAY(),"YM")&amp;" Bulan"</f>
        <v>38 Tahun 6 Bulan</v>
      </c>
      <c r="G30" s="1">
        <v>46237</v>
      </c>
      <c r="H30" s="1" t="str">
        <f ca="1">DATEDIF(G30,TODAY(),"Y")&amp;" Tahun "&amp;DATEDIF(G30,TODAY(),"YM")&amp;" Bulan"</f>
        <v>0 Tahun 2 Bulan</v>
      </c>
      <c r="I30" t="s">
        <v>213</v>
      </c>
    </row>
    <row r="31" spans="1:9" x14ac:dyDescent="0.25">
      <c r="A31">
        <v>30</v>
      </c>
      <c r="B31" t="s">
        <v>190</v>
      </c>
      <c r="D31" t="s">
        <v>202</v>
      </c>
      <c r="E31" s="4">
        <v>32681</v>
      </c>
      <c r="F31" t="str">
        <f t="shared" ca="1" si="0"/>
        <v>37 Tahun 3 Bulan</v>
      </c>
      <c r="G31" s="1">
        <v>46237</v>
      </c>
      <c r="H31" s="1" t="str">
        <f t="shared" ca="1" si="1"/>
        <v>0 Tahun 2 Bulan</v>
      </c>
      <c r="I31" t="s">
        <v>213</v>
      </c>
    </row>
    <row r="32" spans="1:9" x14ac:dyDescent="0.25">
      <c r="A32">
        <v>31</v>
      </c>
      <c r="B32" t="s">
        <v>191</v>
      </c>
      <c r="D32" t="s">
        <v>203</v>
      </c>
      <c r="E32" s="1">
        <v>32710</v>
      </c>
      <c r="F32" t="str">
        <f t="shared" ca="1" si="0"/>
        <v>37 Tahun 2 Bulan</v>
      </c>
      <c r="G32" s="1">
        <v>46237</v>
      </c>
      <c r="H32" s="1" t="str">
        <f t="shared" ca="1" si="1"/>
        <v>0 Tahun 2 Bulan</v>
      </c>
      <c r="I32" t="s">
        <v>213</v>
      </c>
    </row>
    <row r="33" spans="1:9" x14ac:dyDescent="0.25">
      <c r="A33">
        <v>32</v>
      </c>
      <c r="B33" t="s">
        <v>192</v>
      </c>
      <c r="D33" t="s">
        <v>204</v>
      </c>
      <c r="E33" s="1">
        <v>31901</v>
      </c>
      <c r="F33" t="str">
        <f t="shared" ca="1" si="0"/>
        <v>39 Tahun 5 Bulan</v>
      </c>
      <c r="G33" s="1">
        <v>46237</v>
      </c>
      <c r="H33" s="1" t="str">
        <f t="shared" ca="1" si="1"/>
        <v>0 Tahun 2 Bulan</v>
      </c>
      <c r="I33" t="s">
        <v>213</v>
      </c>
    </row>
    <row r="34" spans="1:9" x14ac:dyDescent="0.25">
      <c r="A34">
        <v>33</v>
      </c>
      <c r="B34" t="s">
        <v>193</v>
      </c>
      <c r="D34" t="s">
        <v>205</v>
      </c>
      <c r="E34" s="1">
        <v>35241</v>
      </c>
      <c r="F34" t="str">
        <f t="shared" ca="1" si="0"/>
        <v>30 Tahun 3 Bulan</v>
      </c>
      <c r="G34" s="1">
        <v>46237</v>
      </c>
      <c r="H34" s="1" t="str">
        <f t="shared" ca="1" si="1"/>
        <v>0 Tahun 2 Bulan</v>
      </c>
      <c r="I34" t="s">
        <v>28</v>
      </c>
    </row>
    <row r="35" spans="1:9" x14ac:dyDescent="0.25">
      <c r="A35">
        <v>34</v>
      </c>
      <c r="B35" t="s">
        <v>194</v>
      </c>
      <c r="D35" t="s">
        <v>206</v>
      </c>
      <c r="E35" s="1">
        <v>32754</v>
      </c>
      <c r="F35" t="str">
        <f t="shared" ca="1" si="0"/>
        <v>37 Tahun 1 Bulan</v>
      </c>
      <c r="G35" s="1">
        <v>46237</v>
      </c>
      <c r="H35" s="1" t="str">
        <f t="shared" ca="1" si="1"/>
        <v>0 Tahun 2 Bulan</v>
      </c>
      <c r="I35" t="s">
        <v>28</v>
      </c>
    </row>
    <row r="36" spans="1:9" x14ac:dyDescent="0.25">
      <c r="A36">
        <v>35</v>
      </c>
      <c r="B36" t="s">
        <v>195</v>
      </c>
      <c r="D36" t="s">
        <v>207</v>
      </c>
      <c r="E36" s="1">
        <v>35174</v>
      </c>
      <c r="F36" t="str">
        <f t="shared" ca="1" si="0"/>
        <v>30 Tahun 5 Bulan</v>
      </c>
      <c r="G36" s="1">
        <v>46237</v>
      </c>
      <c r="H36" s="1" t="str">
        <f t="shared" ca="1" si="1"/>
        <v>0 Tahun 2 Bulan</v>
      </c>
      <c r="I36" t="s">
        <v>28</v>
      </c>
    </row>
    <row r="37" spans="1:9" x14ac:dyDescent="0.25">
      <c r="A37">
        <v>36</v>
      </c>
      <c r="B37" t="s">
        <v>196</v>
      </c>
      <c r="D37" t="s">
        <v>208</v>
      </c>
      <c r="E37" s="1">
        <v>34906</v>
      </c>
      <c r="F37" t="str">
        <f t="shared" ca="1" si="0"/>
        <v>31 Tahun 2 Bulan</v>
      </c>
      <c r="G37" s="1">
        <v>46237</v>
      </c>
      <c r="H37" s="1" t="str">
        <f t="shared" ca="1" si="1"/>
        <v>0 Tahun 2 Bulan</v>
      </c>
      <c r="I37" t="s">
        <v>28</v>
      </c>
    </row>
    <row r="38" spans="1:9" x14ac:dyDescent="0.25">
      <c r="A38">
        <v>37</v>
      </c>
      <c r="B38" t="s">
        <v>197</v>
      </c>
      <c r="D38" t="s">
        <v>209</v>
      </c>
      <c r="E38" s="1">
        <v>36221</v>
      </c>
      <c r="F38" t="str">
        <f t="shared" ca="1" si="0"/>
        <v>27 Tahun 7 Bulan</v>
      </c>
      <c r="G38" s="1">
        <v>46237</v>
      </c>
      <c r="H38" s="1" t="str">
        <f t="shared" ca="1" si="1"/>
        <v>0 Tahun 2 Bulan</v>
      </c>
      <c r="I38" t="s">
        <v>28</v>
      </c>
    </row>
    <row r="39" spans="1:9" x14ac:dyDescent="0.25">
      <c r="A39">
        <v>38</v>
      </c>
      <c r="B39" t="s">
        <v>198</v>
      </c>
      <c r="D39" t="s">
        <v>210</v>
      </c>
      <c r="E39" s="1">
        <v>34888</v>
      </c>
      <c r="F39" t="str">
        <f t="shared" ca="1" si="0"/>
        <v>31 Tahun 2 Bulan</v>
      </c>
      <c r="G39" s="1">
        <v>46237</v>
      </c>
      <c r="H39" s="1" t="str">
        <f t="shared" ca="1" si="1"/>
        <v>0 Tahun 2 Bulan</v>
      </c>
      <c r="I39" t="s">
        <v>28</v>
      </c>
    </row>
    <row r="40" spans="1:9" x14ac:dyDescent="0.25">
      <c r="A40">
        <v>39</v>
      </c>
      <c r="B40" t="s">
        <v>199</v>
      </c>
      <c r="D40" t="s">
        <v>211</v>
      </c>
      <c r="E40" s="1">
        <v>36433</v>
      </c>
      <c r="F40" t="str">
        <f t="shared" ca="1" si="0"/>
        <v>27 Tahun 0 Bulan</v>
      </c>
      <c r="G40" s="1">
        <v>46237</v>
      </c>
      <c r="H40" s="1" t="str">
        <f t="shared" ca="1" si="1"/>
        <v>0 Tahun 2 Bulan</v>
      </c>
      <c r="I40" t="s">
        <v>28</v>
      </c>
    </row>
    <row r="41" spans="1:9" x14ac:dyDescent="0.25">
      <c r="A41">
        <v>40</v>
      </c>
      <c r="B41" t="s">
        <v>200</v>
      </c>
      <c r="D41" t="s">
        <v>212</v>
      </c>
      <c r="E41" s="1">
        <v>36141</v>
      </c>
      <c r="F41" t="str">
        <f t="shared" ca="1" si="0"/>
        <v>27 Tahun 9 Bulan</v>
      </c>
      <c r="G41" s="1">
        <v>46237</v>
      </c>
      <c r="H41" s="1" t="str">
        <f t="shared" ca="1" si="1"/>
        <v>0 Tahun 2 Bulan</v>
      </c>
      <c r="I41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KEMENKEU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Hasanuddin</dc:creator>
  <cp:lastModifiedBy>Hasanuddin</cp:lastModifiedBy>
  <dcterms:created xsi:type="dcterms:W3CDTF">2026-10-05T04:01:43Z</dcterms:created>
  <dcterms:modified xsi:type="dcterms:W3CDTF">2026-10-05T04:33:03Z</dcterms:modified>
</cp:coreProperties>
</file>